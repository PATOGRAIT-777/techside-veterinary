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lpimentelz2100_alumno_ipn_mx/Documents/Vital-Pet/Catalogos/Gatos/"/>
    </mc:Choice>
  </mc:AlternateContent>
  <xr:revisionPtr revIDLastSave="312" documentId="8_{9E5079FD-8928-45F6-9808-519438AC3166}" xr6:coauthVersionLast="47" xr6:coauthVersionMax="47" xr10:uidLastSave="{FAD47B39-E008-4101-8A3E-A2E79E324ECB}"/>
  <bookViews>
    <workbookView xWindow="-108" yWindow="-108" windowWidth="23256" windowHeight="14616" firstSheet="1" xr2:uid="{C6816E0E-9919-4613-A887-2AD53AF69060}"/>
  </bookViews>
  <sheets>
    <sheet name="VACUNAS" sheetId="1" r:id="rId1"/>
    <sheet name="ENFERMEDADES" sheetId="2" r:id="rId2"/>
    <sheet name="ALERGI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 s="1"/>
  <c r="A8" i="3" s="1"/>
  <c r="A3" i="3"/>
  <c r="A4" i="2"/>
  <c r="A5" i="2"/>
  <c r="A6" i="2"/>
  <c r="A7" i="2"/>
  <c r="A8" i="2"/>
  <c r="A9" i="2"/>
  <c r="A10" i="2"/>
  <c r="A11" i="2"/>
  <c r="A12" i="2"/>
  <c r="A13" i="2"/>
  <c r="A14" i="2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3" i="2"/>
  <c r="G6" i="1"/>
  <c r="G7" i="1" s="1"/>
  <c r="G8" i="1" s="1"/>
  <c r="G9" i="1" s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<sst xmlns="http://schemas.openxmlformats.org/spreadsheetml/2006/main" count="235" uniqueCount="196">
  <si>
    <t>VACUNA_ID</t>
  </si>
  <si>
    <t>Laboratorio</t>
  </si>
  <si>
    <t>Nombre</t>
  </si>
  <si>
    <t>Importancia</t>
  </si>
  <si>
    <t>ENFERMEDAD_ID</t>
  </si>
  <si>
    <t>Enfermedades</t>
  </si>
  <si>
    <t>NOBIVAC</t>
  </si>
  <si>
    <t>FELINE 1 HCP+FeLV</t>
  </si>
  <si>
    <t>ESCENCIAL</t>
  </si>
  <si>
    <t>RINOTRAQUEITIS INFECCIOSA</t>
  </si>
  <si>
    <t>NOVIVAC</t>
  </si>
  <si>
    <t>FELINE 2-FeLV</t>
  </si>
  <si>
    <t>NO ESCECIAL</t>
  </si>
  <si>
    <t>CALICIVIROSIS FELINA</t>
  </si>
  <si>
    <t>RABIA</t>
  </si>
  <si>
    <t>PANLEUCOPENIA FELINA</t>
  </si>
  <si>
    <t>TRICAT TRIO</t>
  </si>
  <si>
    <t>LEUCEMIA VIRAL FELINA</t>
  </si>
  <si>
    <t>ZOETIS</t>
  </si>
  <si>
    <t>DEFENSOR 1</t>
  </si>
  <si>
    <t>FELOCELL 3</t>
  </si>
  <si>
    <t>VIRBAC</t>
  </si>
  <si>
    <t>FELIGREN CRP/R</t>
  </si>
  <si>
    <t>L</t>
  </si>
  <si>
    <t>CRP</t>
  </si>
  <si>
    <t>LEUCOGEN</t>
  </si>
  <si>
    <t>S</t>
  </si>
  <si>
    <t>ID_Enfermedad</t>
  </si>
  <si>
    <t>Enfermedad</t>
  </si>
  <si>
    <t>Agente causal</t>
  </si>
  <si>
    <t>Tipo</t>
  </si>
  <si>
    <t>Síntomas</t>
  </si>
  <si>
    <t>Transmisión</t>
  </si>
  <si>
    <t>Tratamiento</t>
  </si>
  <si>
    <t>Rabia</t>
  </si>
  <si>
    <t>Virus de la rabia</t>
  </si>
  <si>
    <t>Viral</t>
  </si>
  <si>
    <t>Cambios de comportamiento, salivación excesiva, parálisis</t>
  </si>
  <si>
    <t>Mordeduras o saliva de animales infectados</t>
  </si>
  <si>
    <t>No tiene cura; prevención con vacuna</t>
  </si>
  <si>
    <t>Panleucopenia felina</t>
  </si>
  <si>
    <t>Parvovirus felino</t>
  </si>
  <si>
    <t>Fiebre, vómito, diarrea, deshidratación</t>
  </si>
  <si>
    <t>Contacto con heces o secreciones de gatos infectados</t>
  </si>
  <si>
    <t>Terapia de soporte, líquidos, antibióticos preventivos</t>
  </si>
  <si>
    <t>Calicivirosis felina</t>
  </si>
  <si>
    <t>Calicivirus felino</t>
  </si>
  <si>
    <t>Estornudos, úlceras orales, fiebre, conjuntivitis</t>
  </si>
  <si>
    <t>Contacto con secreciones nasales o saliva</t>
  </si>
  <si>
    <t>Soporte, antibióticos si hay infección secundaria</t>
  </si>
  <si>
    <t>Rinotraqueítis viral felina</t>
  </si>
  <si>
    <t>Herpesvirus felino tipo 1</t>
  </si>
  <si>
    <t>Secreción nasal y ocular, estornudos, fiebre</t>
  </si>
  <si>
    <t>Secreciones nasales y oculares</t>
  </si>
  <si>
    <t>Antivirales, antibióticos, soporte</t>
  </si>
  <si>
    <t>Leucemia felina (FeLV)</t>
  </si>
  <si>
    <t>Retrovirus felino</t>
  </si>
  <si>
    <t>Inmunosupresión, pérdida de peso, fiebre</t>
  </si>
  <si>
    <t>Contacto con saliva, sangre o leche materna</t>
  </si>
  <si>
    <t>No tiene cura, manejo sintomático y vacunación preventiva</t>
  </si>
  <si>
    <t>Inmunodeficiencia felina (FIV)</t>
  </si>
  <si>
    <t>Lentivirus felino</t>
  </si>
  <si>
    <t>Fiebre, pérdida de apetito, infecciones recurrentes</t>
  </si>
  <si>
    <t>Mordeduras profundas, contacto con sangre</t>
  </si>
  <si>
    <t>No tiene cura, manejo del sistema inmune</t>
  </si>
  <si>
    <t>Clamidiosis felina</t>
  </si>
  <si>
    <t>Chlamydia felis</t>
  </si>
  <si>
    <t>Bacteriana</t>
  </si>
  <si>
    <t>Conjuntivitis, estornudos, secreción ocular</t>
  </si>
  <si>
    <t>Contacto con secreciones oculares/nasales</t>
  </si>
  <si>
    <t>Antibióticos (doxiciclina)</t>
  </si>
  <si>
    <t>Bordetelosis</t>
  </si>
  <si>
    <t>Bordetella bronchiseptica</t>
  </si>
  <si>
    <t>Tos, estornudos, secreción nasal</t>
  </si>
  <si>
    <t>Aerosoles respiratorios o contacto directo</t>
  </si>
  <si>
    <t>Antibióticos y manejo de síntomas</t>
  </si>
  <si>
    <t>Micoplasmosis hemotrópica</t>
  </si>
  <si>
    <t>Mycoplasma haemofelis</t>
  </si>
  <si>
    <t>Anemia, fiebre, letargo</t>
  </si>
  <si>
    <t>Picaduras de pulgas o garrapatas</t>
  </si>
  <si>
    <t>Antibióticos (doxiciclina), transfusiones</t>
  </si>
  <si>
    <t>Tuberculosis zoonótica</t>
  </si>
  <si>
    <t>Mycobacterium bovis</t>
  </si>
  <si>
    <t>Pérdida de peso, tos, dificultad respiratoria</t>
  </si>
  <si>
    <t>Inhalación o contacto con lesiones</t>
  </si>
  <si>
    <t>Antibióticos prolongados, aislamiento</t>
  </si>
  <si>
    <t>Toxoplasmosis</t>
  </si>
  <si>
    <t>Toxoplasma gondii</t>
  </si>
  <si>
    <t>Parasitarias</t>
  </si>
  <si>
    <t>Fiebre, letargo, ictericia, problemas neurológicos</t>
  </si>
  <si>
    <t>Ingesta de carne cruda o heces infectadas</t>
  </si>
  <si>
    <t>Clindamicina, manejo de síntomas</t>
  </si>
  <si>
    <t>Giardiasis</t>
  </si>
  <si>
    <t>Giardia spp.</t>
  </si>
  <si>
    <t>Diarrea, pérdida de peso, vómitos</t>
  </si>
  <si>
    <t>Agua o alimentos contaminados</t>
  </si>
  <si>
    <t>Metronidazol o fenbendazol</t>
  </si>
  <si>
    <t>Coccidiosis</t>
  </si>
  <si>
    <t>Isospora spp.</t>
  </si>
  <si>
    <t>Diarrea, deshidratación, debilidad</t>
  </si>
  <si>
    <t>Ingesta de heces contaminadas</t>
  </si>
  <si>
    <t>Sulfadimetoxina</t>
  </si>
  <si>
    <t>Toxocariasis</t>
  </si>
  <si>
    <t>Toxocara cati</t>
  </si>
  <si>
    <t>Distensión abdominal, vómito, parásitos visibles</t>
  </si>
  <si>
    <t>Ingesta de huevos del parásito</t>
  </si>
  <si>
    <t>Antiparasitarios (pirantel, fenbendazol)</t>
  </si>
  <si>
    <t>Anquilostomiasis</t>
  </si>
  <si>
    <t>Ancylostoma tubaeforme</t>
  </si>
  <si>
    <t>Diarrea con sangre, anemia</t>
  </si>
  <si>
    <t>Penetración cutánea o ingestión</t>
  </si>
  <si>
    <t>Antiparasitarios (albendazol, moxidectina)</t>
  </si>
  <si>
    <t>Dipilidiasis</t>
  </si>
  <si>
    <t>Dipylidium caninum</t>
  </si>
  <si>
    <t>Picazón anal, vómitos, presencia de segmentos del parásito</t>
  </si>
  <si>
    <t>Ingestión de pulgas infectadas</t>
  </si>
  <si>
    <t>Praziquantel</t>
  </si>
  <si>
    <t>Otocariosis</t>
  </si>
  <si>
    <t>Otodectes cynotis</t>
  </si>
  <si>
    <t>Picazón en orejas, sacudidas de cabeza, secreción oscura</t>
  </si>
  <si>
    <t>Contacto directo con gatos infestados</t>
  </si>
  <si>
    <t>Limpieza, acaricidas (ivermectina, selamectina)</t>
  </si>
  <si>
    <t>Dermatofitosis (Tiña)</t>
  </si>
  <si>
    <t>Microsporum canis</t>
  </si>
  <si>
    <t>Fúngica</t>
  </si>
  <si>
    <t>Pérdida de pelo circular, picazón, costras</t>
  </si>
  <si>
    <t>Contacto con esporas o superficies contaminadas</t>
  </si>
  <si>
    <t>Antifúngicos tópicos y orales (itraconazol)</t>
  </si>
  <si>
    <t>Candidiasis</t>
  </si>
  <si>
    <t>Candida spp.</t>
  </si>
  <si>
    <t>Lesiones en mucosas, piel o tracto digestivo</t>
  </si>
  <si>
    <t>Oportunista, inmunosupresión</t>
  </si>
  <si>
    <t>Antifúngicos (nistatina, fluconazol)</t>
  </si>
  <si>
    <t>Criptococosis</t>
  </si>
  <si>
    <t>Cryptococcus neoformans</t>
  </si>
  <si>
    <t>Estornudos, masas nasales, síntomas neurológicos</t>
  </si>
  <si>
    <t>Inhalación de esporas del suelo o heces de palomas</t>
  </si>
  <si>
    <t>Antifúngicos prolongados (fluconazol, itraconazol)</t>
  </si>
  <si>
    <t>Enfermedad renal crónica</t>
  </si>
  <si>
    <t>Multifactorial</t>
  </si>
  <si>
    <t>Crónica</t>
  </si>
  <si>
    <t>Aumento de sed, pérdida de peso, vómitos</t>
  </si>
  <si>
    <t>No transmisible</t>
  </si>
  <si>
    <t>Dieta renal, hidratación, control de fósforo</t>
  </si>
  <si>
    <t>Diabetes mellitus felina</t>
  </si>
  <si>
    <t>Sed y hambre excesivas, pérdida de peso</t>
  </si>
  <si>
    <t>Insulina, dieta especial</t>
  </si>
  <si>
    <t>Hipertiroidismo felino</t>
  </si>
  <si>
    <t>Hiperplasia tiroidea</t>
  </si>
  <si>
    <t>Metabólica</t>
  </si>
  <si>
    <t>Pérdida de peso, hiperactividad, taquicardia</t>
  </si>
  <si>
    <t>Metimazol, cirugía o yodo radiactivo</t>
  </si>
  <si>
    <t>Cardiomiopatía hipertrófica</t>
  </si>
  <si>
    <t>Genética</t>
  </si>
  <si>
    <t>Dificultad respiratoria, letargo, colapso</t>
  </si>
  <si>
    <t>Hereditaria</t>
  </si>
  <si>
    <t>Betabloqueadores, control cardíaco</t>
  </si>
  <si>
    <t>le</t>
  </si>
  <si>
    <t>ID_Alergia</t>
  </si>
  <si>
    <t>Alergia</t>
  </si>
  <si>
    <t>Sintomas</t>
  </si>
  <si>
    <t>Dermatitis alérgica por pulgas (DAP)</t>
  </si>
  <si>
    <t>Saliva de pulgas</t>
  </si>
  <si>
    <t>Parasitaria</t>
  </si>
  <si>
    <t>Causa más común de alergia en gatos, prurito severo</t>
  </si>
  <si>
    <t>Control de pulgas (pipetas, collares, limpieza del entorno), corticoides o antihistamínicos según gravedad</t>
  </si>
  <si>
    <t>Alergia alimentaria</t>
  </si>
  <si>
    <t>Proteínas alimentarias (pollo, pescado, res, lácteos)</t>
  </si>
  <si>
    <t>Alimentaria</t>
  </si>
  <si>
    <t>Se manifiesta con vómitos, diarrea o problemas cutáneos</t>
  </si>
  <si>
    <t>Dieta hipoalergénica o de eliminación, evitar el alimento causante</t>
  </si>
  <si>
    <t>Dermatitis atópica felina</t>
  </si>
  <si>
    <t>Alergenos ambientales (ácaros, pólenes, polvo)</t>
  </si>
  <si>
    <t>Ambiental</t>
  </si>
  <si>
    <t>Prurito crónico, lesiones en piel y orejas</t>
  </si>
  <si>
    <t>Control ambiental, inmunoterapia, antihistamínicos, baños medicados</t>
  </si>
  <si>
    <t>Asma felino (alergia respiratoria)</t>
  </si>
  <si>
    <t>Inhalación de alérgenos (polvo, humo, pólenes)</t>
  </si>
  <si>
    <t>Respiratoria</t>
  </si>
  <si>
    <t>Causa tos, sibilancias y dificultad respiratoria</t>
  </si>
  <si>
    <t>Broncodilatadores e inhaladores con corticoides, evitar alérgenos</t>
  </si>
  <si>
    <t>Alergia de contacto</t>
  </si>
  <si>
    <t>Plásticos, detergentes, productos químicos</t>
  </si>
  <si>
    <t>Contacto</t>
  </si>
  <si>
    <t>Zonas de piel enrojecida o con pérdida de pelo</t>
  </si>
  <si>
    <t>Evitar el contacto con el agente, cremas calmantes o corticoides tópicos</t>
  </si>
  <si>
    <t>Reacciones adversas a fármacos</t>
  </si>
  <si>
    <t>Medicamentos (ej. antibióticos, AINEs, vacunas)</t>
  </si>
  <si>
    <t>Medicamentosas</t>
  </si>
  <si>
    <t>Desde urticaria hasta shock anafiláctico</t>
  </si>
  <si>
    <t>Suspender el fármaco, administrar antihistamínicos o corticoides; en casos graves, atención veterinaria urgente</t>
  </si>
  <si>
    <t>Hipersensibilidad a picaduras de insectos</t>
  </si>
  <si>
    <t>Abejas, avispas, mosquitos</t>
  </si>
  <si>
    <t>Insectos</t>
  </si>
  <si>
    <t>Inflamación localizada o reacciones graves</t>
  </si>
  <si>
    <t>Compresas frías, corticoides o antihistamínicos; en casos severos, tratamiento de emergencia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</si>
</sst>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43D9-D3FB-42F1-9A37-A9CD463756C8}">
  <dimension ref="A4:K25"/>
  <sheetViews>
    <sheetView tabSelected="1" workbookViewId="0">
      <selection activeCell="F19" sqref="F19"/>
    </sheetView>
  </sheetViews>
  <sheetFormatPr defaultColWidth="10.7109375" defaultRowHeight="14.45"/>
  <cols>
    <col min="1" max="1" width="4.5703125" bestFit="1" customWidth="1"/>
    <col min="2" max="3" width="10.5703125" bestFit="1" customWidth="1"/>
    <col min="4" max="4" width="13" bestFit="1" customWidth="1"/>
    <col min="5" max="5" width="12.7109375" customWidth="1"/>
    <col min="6" max="6" width="11.28515625" bestFit="1" customWidth="1"/>
    <col min="7" max="7" width="15" bestFit="1" customWidth="1"/>
    <col min="8" max="8" width="25.28515625" bestFit="1" customWidth="1"/>
    <col min="9" max="9" width="15" bestFit="1" customWidth="1"/>
    <col min="10" max="10" width="10.5703125" bestFit="1" customWidth="1"/>
    <col min="11" max="11" width="14.85546875" bestFit="1" customWidth="1"/>
    <col min="12" max="12" width="14.7109375" bestFit="1" customWidth="1"/>
    <col min="13" max="13" width="14.85546875" bestFit="1" customWidth="1"/>
    <col min="17" max="17" width="25.28515625" bestFit="1" customWidth="1"/>
  </cols>
  <sheetData>
    <row r="4" spans="1:11">
      <c r="B4" s="1" t="s">
        <v>0</v>
      </c>
      <c r="C4" s="1" t="s">
        <v>1</v>
      </c>
      <c r="D4" s="1" t="s">
        <v>2</v>
      </c>
      <c r="E4" s="1" t="s">
        <v>3</v>
      </c>
      <c r="F4" s="8"/>
      <c r="G4" s="10" t="s">
        <v>4</v>
      </c>
      <c r="H4" s="10" t="s">
        <v>5</v>
      </c>
      <c r="J4" s="9" t="s">
        <v>0</v>
      </c>
      <c r="K4" s="9" t="s">
        <v>4</v>
      </c>
    </row>
    <row r="5" spans="1:11" ht="28.9">
      <c r="B5" s="5">
        <v>1</v>
      </c>
      <c r="C5" s="6" t="s">
        <v>6</v>
      </c>
      <c r="D5" s="6" t="s">
        <v>7</v>
      </c>
      <c r="E5" s="6" t="s">
        <v>8</v>
      </c>
      <c r="F5" s="7"/>
      <c r="G5" s="11">
        <v>1</v>
      </c>
      <c r="H5" s="11" t="s">
        <v>9</v>
      </c>
      <c r="J5" s="5">
        <v>1</v>
      </c>
      <c r="K5" s="5">
        <v>1</v>
      </c>
    </row>
    <row r="6" spans="1:11">
      <c r="B6" s="5">
        <f>B5+1</f>
        <v>2</v>
      </c>
      <c r="C6" s="6" t="s">
        <v>10</v>
      </c>
      <c r="D6" s="6" t="s">
        <v>11</v>
      </c>
      <c r="E6" s="6" t="s">
        <v>12</v>
      </c>
      <c r="F6" s="7"/>
      <c r="G6" s="11">
        <f>1+G5</f>
        <v>2</v>
      </c>
      <c r="H6" s="11" t="s">
        <v>13</v>
      </c>
      <c r="J6" s="5">
        <v>1</v>
      </c>
      <c r="K6" s="5">
        <v>2</v>
      </c>
    </row>
    <row r="7" spans="1:11">
      <c r="B7" s="5">
        <f t="shared" ref="B7:B12" si="0">B6+1</f>
        <v>3</v>
      </c>
      <c r="C7" s="6" t="s">
        <v>10</v>
      </c>
      <c r="D7" s="6" t="s">
        <v>14</v>
      </c>
      <c r="E7" s="6" t="s">
        <v>8</v>
      </c>
      <c r="F7" s="7"/>
      <c r="G7" s="11">
        <f t="shared" ref="G7:G9" si="1">1+G6</f>
        <v>3</v>
      </c>
      <c r="H7" s="11" t="s">
        <v>15</v>
      </c>
      <c r="J7" s="5">
        <v>1</v>
      </c>
      <c r="K7" s="5">
        <v>3</v>
      </c>
    </row>
    <row r="8" spans="1:11">
      <c r="B8" s="5">
        <f t="shared" si="0"/>
        <v>4</v>
      </c>
      <c r="C8" s="6" t="s">
        <v>10</v>
      </c>
      <c r="D8" s="6" t="s">
        <v>16</v>
      </c>
      <c r="E8" s="6" t="s">
        <v>8</v>
      </c>
      <c r="F8" s="7"/>
      <c r="G8" s="11">
        <f t="shared" si="1"/>
        <v>4</v>
      </c>
      <c r="H8" s="11" t="s">
        <v>17</v>
      </c>
      <c r="J8" s="5">
        <v>1</v>
      </c>
      <c r="K8" s="5">
        <v>4</v>
      </c>
    </row>
    <row r="9" spans="1:11">
      <c r="B9" s="5">
        <f t="shared" si="0"/>
        <v>5</v>
      </c>
      <c r="C9" s="6" t="s">
        <v>18</v>
      </c>
      <c r="D9" s="6" t="s">
        <v>19</v>
      </c>
      <c r="E9" s="6" t="s">
        <v>8</v>
      </c>
      <c r="F9" s="7"/>
      <c r="G9" s="11">
        <f t="shared" si="1"/>
        <v>5</v>
      </c>
      <c r="H9" s="11" t="s">
        <v>14</v>
      </c>
      <c r="J9" s="5">
        <v>2</v>
      </c>
      <c r="K9" s="5">
        <v>4</v>
      </c>
    </row>
    <row r="10" spans="1:11">
      <c r="B10" s="5">
        <f t="shared" si="0"/>
        <v>6</v>
      </c>
      <c r="C10" s="6" t="s">
        <v>18</v>
      </c>
      <c r="D10" s="6" t="s">
        <v>20</v>
      </c>
      <c r="E10" s="6" t="s">
        <v>8</v>
      </c>
      <c r="F10" s="7"/>
      <c r="J10" s="5">
        <v>3</v>
      </c>
      <c r="K10" s="5">
        <v>5</v>
      </c>
    </row>
    <row r="11" spans="1:11" ht="28.9">
      <c r="B11" s="5">
        <f t="shared" si="0"/>
        <v>7</v>
      </c>
      <c r="C11" s="6" t="s">
        <v>21</v>
      </c>
      <c r="D11" s="6" t="s">
        <v>22</v>
      </c>
      <c r="E11" s="6" t="s">
        <v>8</v>
      </c>
      <c r="F11" s="7"/>
      <c r="J11" s="5">
        <v>4</v>
      </c>
      <c r="K11" s="5">
        <v>1</v>
      </c>
    </row>
    <row r="12" spans="1:11" ht="15">
      <c r="A12" t="s">
        <v>23</v>
      </c>
      <c r="B12" s="5">
        <f t="shared" si="0"/>
        <v>8</v>
      </c>
      <c r="C12" s="6" t="s">
        <v>21</v>
      </c>
      <c r="D12" s="6" t="s">
        <v>24</v>
      </c>
      <c r="E12" s="6" t="s">
        <v>8</v>
      </c>
      <c r="F12" s="7"/>
      <c r="J12" s="5">
        <v>4</v>
      </c>
      <c r="K12" s="5">
        <v>2</v>
      </c>
    </row>
    <row r="13" spans="1:11">
      <c r="B13" s="5">
        <f>B12+1</f>
        <v>9</v>
      </c>
      <c r="C13" s="6" t="s">
        <v>21</v>
      </c>
      <c r="D13" s="6" t="s">
        <v>25</v>
      </c>
      <c r="E13" s="6" t="s">
        <v>12</v>
      </c>
      <c r="F13" s="7"/>
      <c r="J13" s="5">
        <v>4</v>
      </c>
      <c r="K13" s="5">
        <v>3</v>
      </c>
    </row>
    <row r="14" spans="1:11">
      <c r="J14" s="6">
        <v>5</v>
      </c>
      <c r="K14" s="5">
        <v>5</v>
      </c>
    </row>
    <row r="15" spans="1:11">
      <c r="J15" s="6">
        <v>6</v>
      </c>
      <c r="K15" s="5">
        <v>1</v>
      </c>
    </row>
    <row r="16" spans="1:11">
      <c r="J16" s="6">
        <v>6</v>
      </c>
      <c r="K16" s="5">
        <v>2</v>
      </c>
    </row>
    <row r="17" spans="6:11">
      <c r="J17" s="6">
        <v>6</v>
      </c>
      <c r="K17" s="5">
        <v>3</v>
      </c>
    </row>
    <row r="18" spans="6:11">
      <c r="J18" s="6">
        <v>7</v>
      </c>
      <c r="K18" s="5">
        <v>1</v>
      </c>
    </row>
    <row r="19" spans="6:11">
      <c r="F19" t="s">
        <v>26</v>
      </c>
      <c r="J19" s="6">
        <v>7</v>
      </c>
      <c r="K19" s="5">
        <v>2</v>
      </c>
    </row>
    <row r="20" spans="6:11">
      <c r="J20" s="6">
        <v>7</v>
      </c>
      <c r="K20" s="5">
        <v>3</v>
      </c>
    </row>
    <row r="21" spans="6:11">
      <c r="J21" s="6">
        <v>7</v>
      </c>
      <c r="K21" s="5">
        <v>5</v>
      </c>
    </row>
    <row r="22" spans="6:11">
      <c r="J22" s="6">
        <v>8</v>
      </c>
      <c r="K22" s="5">
        <v>1</v>
      </c>
    </row>
    <row r="23" spans="6:11">
      <c r="J23" s="6">
        <v>8</v>
      </c>
      <c r="K23" s="5">
        <v>2</v>
      </c>
    </row>
    <row r="24" spans="6:11">
      <c r="J24" s="6">
        <v>8</v>
      </c>
      <c r="K24" s="5">
        <v>3</v>
      </c>
    </row>
    <row r="25" spans="6:11">
      <c r="J25" s="6">
        <v>9</v>
      </c>
      <c r="K25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DCC5-5896-43B0-958A-EBF26A260F76}">
  <dimension ref="A1:G29"/>
  <sheetViews>
    <sheetView zoomScale="81" workbookViewId="0">
      <selection activeCell="D28" sqref="D28"/>
    </sheetView>
  </sheetViews>
  <sheetFormatPr defaultColWidth="10.7109375" defaultRowHeight="14.45"/>
  <cols>
    <col min="1" max="1" width="13.7109375" bestFit="1" customWidth="1"/>
    <col min="2" max="2" width="24" customWidth="1"/>
    <col min="3" max="3" width="18.28515625" customWidth="1"/>
    <col min="4" max="4" width="43.42578125" customWidth="1"/>
    <col min="5" max="5" width="51.28515625" bestFit="1" customWidth="1"/>
    <col min="6" max="6" width="48.28515625" bestFit="1" customWidth="1"/>
    <col min="7" max="7" width="51.7109375" bestFit="1" customWidth="1"/>
  </cols>
  <sheetData>
    <row r="1" spans="1:7">
      <c r="A1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>
      <c r="A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</row>
    <row r="3" spans="1:7">
      <c r="A3">
        <f>A2+1</f>
        <v>2</v>
      </c>
      <c r="B3" s="2" t="s">
        <v>40</v>
      </c>
      <c r="C3" s="2" t="s">
        <v>41</v>
      </c>
      <c r="D3" s="2" t="s">
        <v>36</v>
      </c>
      <c r="E3" s="2" t="s">
        <v>42</v>
      </c>
      <c r="F3" s="2" t="s">
        <v>43</v>
      </c>
      <c r="G3" s="2" t="s">
        <v>44</v>
      </c>
    </row>
    <row r="4" spans="1:7">
      <c r="A4">
        <f t="shared" ref="A4:A25" si="0">A3+1</f>
        <v>3</v>
      </c>
      <c r="B4" s="2" t="s">
        <v>45</v>
      </c>
      <c r="C4" s="2" t="s">
        <v>46</v>
      </c>
      <c r="D4" s="2" t="s">
        <v>36</v>
      </c>
      <c r="E4" s="2" t="s">
        <v>47</v>
      </c>
      <c r="F4" s="2" t="s">
        <v>48</v>
      </c>
      <c r="G4" s="2" t="s">
        <v>49</v>
      </c>
    </row>
    <row r="5" spans="1:7">
      <c r="A5">
        <f t="shared" si="0"/>
        <v>4</v>
      </c>
      <c r="B5" s="2" t="s">
        <v>50</v>
      </c>
      <c r="C5" s="2" t="s">
        <v>51</v>
      </c>
      <c r="D5" s="2" t="s">
        <v>36</v>
      </c>
      <c r="E5" s="2" t="s">
        <v>52</v>
      </c>
      <c r="F5" s="2" t="s">
        <v>53</v>
      </c>
      <c r="G5" s="2" t="s">
        <v>54</v>
      </c>
    </row>
    <row r="6" spans="1:7">
      <c r="A6">
        <f t="shared" si="0"/>
        <v>5</v>
      </c>
      <c r="B6" s="2" t="s">
        <v>55</v>
      </c>
      <c r="C6" s="2" t="s">
        <v>56</v>
      </c>
      <c r="D6" s="2" t="s">
        <v>36</v>
      </c>
      <c r="E6" s="2" t="s">
        <v>57</v>
      </c>
      <c r="F6" s="2" t="s">
        <v>58</v>
      </c>
      <c r="G6" s="2" t="s">
        <v>59</v>
      </c>
    </row>
    <row r="7" spans="1:7">
      <c r="A7">
        <f t="shared" si="0"/>
        <v>6</v>
      </c>
      <c r="B7" s="2" t="s">
        <v>60</v>
      </c>
      <c r="C7" s="2" t="s">
        <v>61</v>
      </c>
      <c r="D7" s="2" t="s">
        <v>36</v>
      </c>
      <c r="E7" s="2" t="s">
        <v>62</v>
      </c>
      <c r="F7" s="2" t="s">
        <v>63</v>
      </c>
      <c r="G7" s="2" t="s">
        <v>64</v>
      </c>
    </row>
    <row r="8" spans="1:7">
      <c r="A8">
        <f t="shared" si="0"/>
        <v>7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</row>
    <row r="9" spans="1:7">
      <c r="A9">
        <f t="shared" si="0"/>
        <v>8</v>
      </c>
      <c r="B9" s="2" t="s">
        <v>71</v>
      </c>
      <c r="C9" s="2" t="s">
        <v>72</v>
      </c>
      <c r="D9" s="2" t="s">
        <v>67</v>
      </c>
      <c r="E9" s="2" t="s">
        <v>73</v>
      </c>
      <c r="F9" s="2" t="s">
        <v>74</v>
      </c>
      <c r="G9" s="2" t="s">
        <v>75</v>
      </c>
    </row>
    <row r="10" spans="1:7">
      <c r="A10">
        <f t="shared" si="0"/>
        <v>9</v>
      </c>
      <c r="B10" s="2" t="s">
        <v>76</v>
      </c>
      <c r="C10" s="2" t="s">
        <v>77</v>
      </c>
      <c r="D10" s="2" t="s">
        <v>67</v>
      </c>
      <c r="E10" s="2" t="s">
        <v>78</v>
      </c>
      <c r="F10" s="2" t="s">
        <v>79</v>
      </c>
      <c r="G10" s="2" t="s">
        <v>80</v>
      </c>
    </row>
    <row r="11" spans="1:7">
      <c r="A11">
        <f t="shared" si="0"/>
        <v>10</v>
      </c>
      <c r="B11" s="2" t="s">
        <v>81</v>
      </c>
      <c r="C11" s="2" t="s">
        <v>82</v>
      </c>
      <c r="D11" s="2" t="s">
        <v>67</v>
      </c>
      <c r="E11" s="2" t="s">
        <v>83</v>
      </c>
      <c r="F11" s="2" t="s">
        <v>84</v>
      </c>
      <c r="G11" s="2" t="s">
        <v>85</v>
      </c>
    </row>
    <row r="12" spans="1:7">
      <c r="A12">
        <f t="shared" si="0"/>
        <v>11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</row>
    <row r="13" spans="1:7">
      <c r="A13">
        <f t="shared" si="0"/>
        <v>12</v>
      </c>
      <c r="B13" s="2" t="s">
        <v>92</v>
      </c>
      <c r="C13" s="2" t="s">
        <v>93</v>
      </c>
      <c r="D13" s="2" t="s">
        <v>88</v>
      </c>
      <c r="E13" s="2" t="s">
        <v>94</v>
      </c>
      <c r="F13" s="2" t="s">
        <v>95</v>
      </c>
      <c r="G13" s="2" t="s">
        <v>96</v>
      </c>
    </row>
    <row r="14" spans="1:7">
      <c r="A14">
        <f t="shared" si="0"/>
        <v>13</v>
      </c>
      <c r="B14" s="2" t="s">
        <v>97</v>
      </c>
      <c r="C14" s="2" t="s">
        <v>98</v>
      </c>
      <c r="D14" s="2" t="s">
        <v>88</v>
      </c>
      <c r="E14" s="2" t="s">
        <v>99</v>
      </c>
      <c r="F14" s="2" t="s">
        <v>100</v>
      </c>
      <c r="G14" s="2" t="s">
        <v>101</v>
      </c>
    </row>
    <row r="15" spans="1:7">
      <c r="A15">
        <f t="shared" si="0"/>
        <v>14</v>
      </c>
      <c r="B15" s="2" t="s">
        <v>102</v>
      </c>
      <c r="C15" s="2" t="s">
        <v>103</v>
      </c>
      <c r="D15" s="2" t="s">
        <v>88</v>
      </c>
      <c r="E15" s="2" t="s">
        <v>104</v>
      </c>
      <c r="F15" s="2" t="s">
        <v>105</v>
      </c>
      <c r="G15" s="2" t="s">
        <v>106</v>
      </c>
    </row>
    <row r="16" spans="1:7">
      <c r="A16">
        <f t="shared" si="0"/>
        <v>15</v>
      </c>
      <c r="B16" s="2" t="s">
        <v>107</v>
      </c>
      <c r="C16" s="2" t="s">
        <v>108</v>
      </c>
      <c r="D16" s="2" t="s">
        <v>88</v>
      </c>
      <c r="E16" s="2" t="s">
        <v>109</v>
      </c>
      <c r="F16" s="2" t="s">
        <v>110</v>
      </c>
      <c r="G16" s="2" t="s">
        <v>111</v>
      </c>
    </row>
    <row r="17" spans="1:7">
      <c r="A17">
        <f t="shared" si="0"/>
        <v>16</v>
      </c>
      <c r="B17" s="2" t="s">
        <v>112</v>
      </c>
      <c r="C17" s="2" t="s">
        <v>113</v>
      </c>
      <c r="D17" s="2" t="s">
        <v>88</v>
      </c>
      <c r="E17" s="2" t="s">
        <v>114</v>
      </c>
      <c r="F17" s="2" t="s">
        <v>115</v>
      </c>
      <c r="G17" s="2" t="s">
        <v>116</v>
      </c>
    </row>
    <row r="18" spans="1:7">
      <c r="A18">
        <f t="shared" si="0"/>
        <v>17</v>
      </c>
      <c r="B18" s="2" t="s">
        <v>117</v>
      </c>
      <c r="C18" s="2" t="s">
        <v>118</v>
      </c>
      <c r="D18" s="2" t="s">
        <v>88</v>
      </c>
      <c r="E18" s="2" t="s">
        <v>119</v>
      </c>
      <c r="F18" s="2" t="s">
        <v>120</v>
      </c>
      <c r="G18" s="2" t="s">
        <v>121</v>
      </c>
    </row>
    <row r="19" spans="1:7">
      <c r="A19">
        <f t="shared" si="0"/>
        <v>18</v>
      </c>
      <c r="B19" s="2" t="s">
        <v>122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</row>
    <row r="20" spans="1:7">
      <c r="A20">
        <f t="shared" si="0"/>
        <v>19</v>
      </c>
      <c r="B20" s="2" t="s">
        <v>128</v>
      </c>
      <c r="C20" s="2" t="s">
        <v>129</v>
      </c>
      <c r="D20" s="2" t="s">
        <v>124</v>
      </c>
      <c r="E20" s="2" t="s">
        <v>130</v>
      </c>
      <c r="F20" s="2" t="s">
        <v>131</v>
      </c>
      <c r="G20" s="2" t="s">
        <v>132</v>
      </c>
    </row>
    <row r="21" spans="1:7">
      <c r="A21">
        <f t="shared" si="0"/>
        <v>20</v>
      </c>
      <c r="B21" s="2" t="s">
        <v>133</v>
      </c>
      <c r="C21" s="2" t="s">
        <v>134</v>
      </c>
      <c r="D21" s="2" t="s">
        <v>124</v>
      </c>
      <c r="E21" s="2" t="s">
        <v>135</v>
      </c>
      <c r="F21" s="2" t="s">
        <v>136</v>
      </c>
      <c r="G21" s="2" t="s">
        <v>137</v>
      </c>
    </row>
    <row r="22" spans="1:7">
      <c r="A22">
        <f t="shared" si="0"/>
        <v>21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</row>
    <row r="23" spans="1:7">
      <c r="A23">
        <f t="shared" si="0"/>
        <v>22</v>
      </c>
      <c r="B23" s="2" t="s">
        <v>144</v>
      </c>
      <c r="C23" s="2" t="s">
        <v>139</v>
      </c>
      <c r="D23" s="2" t="s">
        <v>140</v>
      </c>
      <c r="E23" s="2" t="s">
        <v>145</v>
      </c>
      <c r="F23" s="2" t="s">
        <v>142</v>
      </c>
      <c r="G23" s="2" t="s">
        <v>146</v>
      </c>
    </row>
    <row r="24" spans="1:7">
      <c r="A24">
        <f t="shared" si="0"/>
        <v>23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142</v>
      </c>
      <c r="G24" s="2" t="s">
        <v>151</v>
      </c>
    </row>
    <row r="25" spans="1:7">
      <c r="A25">
        <f t="shared" si="0"/>
        <v>24</v>
      </c>
      <c r="B25" s="2" t="s">
        <v>152</v>
      </c>
      <c r="C25" s="2" t="s">
        <v>153</v>
      </c>
      <c r="D25" s="2" t="s">
        <v>140</v>
      </c>
      <c r="E25" s="2" t="s">
        <v>154</v>
      </c>
      <c r="F25" s="2" t="s">
        <v>155</v>
      </c>
      <c r="G25" s="2" t="s">
        <v>156</v>
      </c>
    </row>
    <row r="29" spans="1:7">
      <c r="F29" t="s">
        <v>157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4D45-96D8-4DAC-9824-BF411B594975}">
  <dimension ref="A1:F16"/>
  <sheetViews>
    <sheetView zoomScale="52" workbookViewId="0">
      <selection activeCell="C16" sqref="C16"/>
    </sheetView>
  </sheetViews>
  <sheetFormatPr defaultColWidth="10.7109375" defaultRowHeight="14.45"/>
  <cols>
    <col min="1" max="1" width="11.42578125" bestFit="1" customWidth="1"/>
    <col min="2" max="2" width="46.7109375" customWidth="1"/>
    <col min="3" max="3" width="44.85546875" bestFit="1" customWidth="1"/>
    <col min="4" max="4" width="51.28515625" customWidth="1"/>
    <col min="5" max="5" width="91.28515625" bestFit="1" customWidth="1"/>
    <col min="6" max="6" width="112.85546875" bestFit="1" customWidth="1"/>
  </cols>
  <sheetData>
    <row r="1" spans="1:6">
      <c r="A1" t="s">
        <v>158</v>
      </c>
      <c r="B1" s="3" t="s">
        <v>159</v>
      </c>
      <c r="C1" s="3" t="s">
        <v>29</v>
      </c>
      <c r="D1" s="3" t="s">
        <v>30</v>
      </c>
      <c r="E1" s="3" t="s">
        <v>160</v>
      </c>
      <c r="F1" s="3" t="s">
        <v>33</v>
      </c>
    </row>
    <row r="2" spans="1:6">
      <c r="A2">
        <v>1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</row>
    <row r="3" spans="1:6">
      <c r="A3">
        <f>A2+1</f>
        <v>2</v>
      </c>
      <c r="B3" s="2" t="s">
        <v>166</v>
      </c>
      <c r="C3" s="2" t="s">
        <v>167</v>
      </c>
      <c r="D3" s="2" t="s">
        <v>168</v>
      </c>
      <c r="E3" s="2" t="s">
        <v>169</v>
      </c>
      <c r="F3" s="2" t="s">
        <v>170</v>
      </c>
    </row>
    <row r="4" spans="1:6">
      <c r="A4">
        <f t="shared" ref="A4:A8" si="0">A3+1</f>
        <v>3</v>
      </c>
      <c r="B4" s="2" t="s">
        <v>171</v>
      </c>
      <c r="C4" s="2" t="s">
        <v>172</v>
      </c>
      <c r="D4" s="2" t="s">
        <v>173</v>
      </c>
      <c r="E4" s="2" t="s">
        <v>174</v>
      </c>
      <c r="F4" s="2" t="s">
        <v>175</v>
      </c>
    </row>
    <row r="5" spans="1:6">
      <c r="A5">
        <f t="shared" si="0"/>
        <v>4</v>
      </c>
      <c r="B5" s="2" t="s">
        <v>176</v>
      </c>
      <c r="C5" s="2" t="s">
        <v>177</v>
      </c>
      <c r="D5" s="2" t="s">
        <v>178</v>
      </c>
      <c r="E5" s="2" t="s">
        <v>179</v>
      </c>
      <c r="F5" s="2" t="s">
        <v>180</v>
      </c>
    </row>
    <row r="6" spans="1:6">
      <c r="A6">
        <f t="shared" si="0"/>
        <v>5</v>
      </c>
      <c r="B6" s="2" t="s">
        <v>181</v>
      </c>
      <c r="C6" s="2" t="s">
        <v>182</v>
      </c>
      <c r="D6" s="2" t="s">
        <v>183</v>
      </c>
      <c r="E6" s="2" t="s">
        <v>184</v>
      </c>
      <c r="F6" s="2" t="s">
        <v>185</v>
      </c>
    </row>
    <row r="7" spans="1:6">
      <c r="A7">
        <f t="shared" si="0"/>
        <v>6</v>
      </c>
      <c r="B7" s="2" t="s">
        <v>186</v>
      </c>
      <c r="C7" s="2" t="s">
        <v>187</v>
      </c>
      <c r="D7" s="2" t="s">
        <v>188</v>
      </c>
      <c r="E7" s="2" t="s">
        <v>189</v>
      </c>
      <c r="F7" s="2" t="s">
        <v>190</v>
      </c>
    </row>
    <row r="8" spans="1:6">
      <c r="A8">
        <f t="shared" si="0"/>
        <v>7</v>
      </c>
      <c r="B8" s="2" t="s">
        <v>191</v>
      </c>
      <c r="C8" s="2" t="s">
        <v>192</v>
      </c>
      <c r="D8" s="2" t="s">
        <v>193</v>
      </c>
      <c r="E8" s="2" t="s">
        <v>194</v>
      </c>
      <c r="F8" s="2" t="s">
        <v>195</v>
      </c>
    </row>
    <row r="16" spans="1:6">
      <c r="D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EE3B94B401C458A31C27AEF5C7CCD" ma:contentTypeVersion="12" ma:contentTypeDescription="Create a new document." ma:contentTypeScope="" ma:versionID="03a2cf5e052ab620caa4f38bfba37b98">
  <xsd:schema xmlns:xsd="http://www.w3.org/2001/XMLSchema" xmlns:xs="http://www.w3.org/2001/XMLSchema" xmlns:p="http://schemas.microsoft.com/office/2006/metadata/properties" xmlns:ns3="4f62fb49-eb4c-4486-9d3d-846594a89064" targetNamespace="http://schemas.microsoft.com/office/2006/metadata/properties" ma:root="true" ma:fieldsID="22c2445d910c72d6f183c740b34a9aa0" ns3:_="">
    <xsd:import namespace="4f62fb49-eb4c-4486-9d3d-846594a890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2fb49-eb4c-4486-9d3d-846594a890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62fb49-eb4c-4486-9d3d-846594a89064" xsi:nil="true"/>
  </documentManagement>
</p:properties>
</file>

<file path=customXml/itemProps1.xml><?xml version="1.0" encoding="utf-8"?>
<ds:datastoreItem xmlns:ds="http://schemas.openxmlformats.org/officeDocument/2006/customXml" ds:itemID="{22117026-0D22-4CC8-83E6-D18A1263A1BE}"/>
</file>

<file path=customXml/itemProps2.xml><?xml version="1.0" encoding="utf-8"?>
<ds:datastoreItem xmlns:ds="http://schemas.openxmlformats.org/officeDocument/2006/customXml" ds:itemID="{3854ECD4-E9F7-4AF0-8923-038948506540}"/>
</file>

<file path=customXml/itemProps3.xml><?xml version="1.0" encoding="utf-8"?>
<ds:datastoreItem xmlns:ds="http://schemas.openxmlformats.org/officeDocument/2006/customXml" ds:itemID="{DF13EAF9-A370-414B-BA0F-3964FC475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Zarate</dc:creator>
  <cp:keywords/>
  <dc:description/>
  <cp:lastModifiedBy>Leonardo Pimentel Zarate</cp:lastModifiedBy>
  <cp:revision/>
  <dcterms:created xsi:type="dcterms:W3CDTF">2025-09-29T23:39:55Z</dcterms:created>
  <dcterms:modified xsi:type="dcterms:W3CDTF">2025-11-01T01:45:22Z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0x01010012DEE3B94B401C458A31C27AEF5C7CCD</vt:lpwstr>
  </property>
</Properties>
</file>